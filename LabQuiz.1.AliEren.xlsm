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li.eren\Google Drive\YBS-Doktora\Cuma_Karar Destek Sistemleri \quiz2\"/>
    </mc:Choice>
  </mc:AlternateContent>
  <bookViews>
    <workbookView xWindow="0" yWindow="0" windowWidth="38400" windowHeight="17715"/>
  </bookViews>
  <sheets>
    <sheet name="SSM" sheetId="1" r:id="rId1"/>
  </sheets>
  <definedNames>
    <definedName name="AltT">SSM!$M$12:$R$12</definedName>
    <definedName name="EnKHedef">SSM!$B$17</definedName>
    <definedName name="Firma1">SSM!$C$7:$C$12</definedName>
    <definedName name="Firma2">SSM!$D$7:$D$12</definedName>
    <definedName name="Firma3">SSM!$E$7:$E$12</definedName>
    <definedName name="Firma4">SSM!$F$7:$F$12</definedName>
    <definedName name="Firma5">SSM!$G$7:$G$12</definedName>
    <definedName name="Firma6">SSM!$H$7:$H$12</definedName>
    <definedName name="Harcama">SSM!$C$7:$H$12</definedName>
    <definedName name="Karar">SSM!$M$6:$R$11</definedName>
    <definedName name="Maliyet">SSM!$C$7:$H$12</definedName>
    <definedName name="P1_">SSM!$M$6:$R$6</definedName>
    <definedName name="P2_">SSM!$M$7:$R$7</definedName>
    <definedName name="P3_">SSM!$M$8:$R$8</definedName>
    <definedName name="P4_">SSM!$M$9:$R$9</definedName>
    <definedName name="P5_">SSM!$M$10:$R$10</definedName>
    <definedName name="P6_">SSM!$M$11:$R$11</definedName>
    <definedName name="Proje1Tklf">SSM!$C$7:$H$7</definedName>
    <definedName name="Proje2Tklf">SSM!$C$8:$H$8</definedName>
    <definedName name="Proje3Tklf">SSM!$C$9:$H$9</definedName>
    <definedName name="Proje4Tklf">SSM!$C$10:$H$10</definedName>
    <definedName name="Proje5Tklf">SSM!$C$11:$H$11</definedName>
    <definedName name="Proje6Tklf">SSM!$C$12:$H$12</definedName>
    <definedName name="SagT">SSM!$U$6:$U$11</definedName>
    <definedName name="SolT">SSM!$S$6:$S$11</definedName>
    <definedName name="solver_adj" localSheetId="0" hidden="1">SSM!$M$6:$R$11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SSM!$M$6:$R$11</definedName>
    <definedName name="solver_lhs2" localSheetId="0" hidden="1">SSM!$S$6:$S$11</definedName>
    <definedName name="solver_lhs3" localSheetId="0" hidden="1">SSM!$M$12:$R$12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SSM!$B$17</definedName>
    <definedName name="solver_pre" localSheetId="0" hidden="1">0.000001</definedName>
    <definedName name="solver_rbv" localSheetId="0" hidden="1">2</definedName>
    <definedName name="solver_rel1" localSheetId="0" hidden="1">5</definedName>
    <definedName name="solver_rel2" localSheetId="0" hidden="1">2</definedName>
    <definedName name="solver_rel3" localSheetId="0" hidden="1">2</definedName>
    <definedName name="solver_rhs1" localSheetId="0" hidden="1">"ikili düzen"</definedName>
    <definedName name="solver_rhs2" localSheetId="0" hidden="1">SagT</definedName>
    <definedName name="solver_rhs3" localSheetId="0" hidden="1">UstT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UstT">SSM!$M$14:$R$14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1" l="1"/>
  <c r="I12" i="1"/>
  <c r="I11" i="1"/>
  <c r="I10" i="1"/>
  <c r="I9" i="1"/>
  <c r="I8" i="1"/>
  <c r="I7" i="1"/>
  <c r="C13" i="1"/>
  <c r="D13" i="1"/>
  <c r="E13" i="1"/>
  <c r="F13" i="1"/>
  <c r="G13" i="1"/>
  <c r="H13" i="1"/>
  <c r="M12" i="1"/>
  <c r="S10" i="1"/>
  <c r="J13" i="1" l="1"/>
  <c r="I13" i="1"/>
  <c r="S11" i="1"/>
  <c r="S9" i="1"/>
  <c r="S8" i="1"/>
  <c r="S7" i="1"/>
  <c r="S6" i="1"/>
  <c r="O12" i="1"/>
  <c r="Q12" i="1"/>
  <c r="N12" i="1"/>
  <c r="P12" i="1"/>
  <c r="R12" i="1"/>
</calcChain>
</file>

<file path=xl/sharedStrings.xml><?xml version="1.0" encoding="utf-8"?>
<sst xmlns="http://schemas.openxmlformats.org/spreadsheetml/2006/main" count="47" uniqueCount="24">
  <si>
    <t>P1</t>
  </si>
  <si>
    <t>P2</t>
  </si>
  <si>
    <t>P3</t>
  </si>
  <si>
    <t>P4</t>
  </si>
  <si>
    <t>P5</t>
  </si>
  <si>
    <t>P6</t>
  </si>
  <si>
    <t>F1</t>
  </si>
  <si>
    <t>F2</t>
  </si>
  <si>
    <t>F3</t>
  </si>
  <si>
    <t>F4</t>
  </si>
  <si>
    <t>F5</t>
  </si>
  <si>
    <t>F6</t>
  </si>
  <si>
    <t>SolT</t>
  </si>
  <si>
    <t>=</t>
  </si>
  <si>
    <t>AltT</t>
  </si>
  <si>
    <t>UstT</t>
  </si>
  <si>
    <t>Firma Toplam Tutarları</t>
  </si>
  <si>
    <t>Proje Toplamları</t>
  </si>
  <si>
    <t>SagT</t>
  </si>
  <si>
    <t>Firmalar</t>
  </si>
  <si>
    <t>Projeler</t>
  </si>
  <si>
    <t>Hedef</t>
  </si>
  <si>
    <t>SSM ihalesi paylaştırılması</t>
  </si>
  <si>
    <t>Karar Matrisi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</si>
</sst>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rgb="FFFF000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28576</xdr:colOff>
      <xdr:row>14</xdr:row>
      <xdr:rowOff>9526</xdr:rowOff>
    </xdr:from>
    <xdr:to>
      <xdr:col>7</xdr:col>
      <xdr:colOff>466726</xdr:colOff>
      <xdr:row>29</xdr:row>
      <xdr:rowOff>190243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1" y="3286126"/>
          <a:ext cx="2876550" cy="30858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2:U24"/>
  <sheetViews>
    <sheetView tabSelected="1" workbookViewId="0">
      <selection activeCell="L21" sqref="L21"/>
    </sheetView>
  </sheetViews>
  <sheetFormatPr defaultRowHeight="15" x14ac:dyDescent="0.25"/>
  <cols>
    <col min="1" max="1" width="3.7109375" bestFit="1" customWidth="1"/>
    <col min="2" max="2" width="8.42578125" bestFit="1" customWidth="1"/>
    <col min="9" max="9" width="10.42578125" bestFit="1" customWidth="1"/>
    <col min="10" max="10" width="4.42578125" bestFit="1" customWidth="1"/>
    <col min="12" max="12" width="5" bestFit="1" customWidth="1"/>
    <col min="13" max="18" width="3" bestFit="1" customWidth="1"/>
    <col min="19" max="19" width="4.7109375" bestFit="1" customWidth="1"/>
    <col min="20" max="20" width="2" bestFit="1" customWidth="1"/>
    <col min="21" max="21" width="5" bestFit="1" customWidth="1"/>
  </cols>
  <sheetData>
    <row r="2" spans="1:21" x14ac:dyDescent="0.25">
      <c r="C2" s="14" t="s">
        <v>22</v>
      </c>
      <c r="D2" s="14"/>
      <c r="E2" s="14"/>
      <c r="F2" s="14"/>
      <c r="G2" s="14"/>
      <c r="H2" s="14"/>
      <c r="I2" s="14"/>
    </row>
    <row r="3" spans="1:21" x14ac:dyDescent="0.25">
      <c r="C3" s="14"/>
      <c r="D3" s="14"/>
      <c r="E3" s="14"/>
      <c r="F3" s="14"/>
      <c r="G3" s="14"/>
      <c r="H3" s="14"/>
      <c r="I3" s="14"/>
      <c r="L3" s="16" t="s">
        <v>23</v>
      </c>
      <c r="M3" s="16"/>
      <c r="N3" s="16"/>
      <c r="O3" s="16"/>
      <c r="P3" s="16"/>
      <c r="Q3" s="16"/>
      <c r="R3" s="16"/>
      <c r="S3" s="16"/>
      <c r="T3" s="16"/>
      <c r="U3" s="16"/>
    </row>
    <row r="5" spans="1:21" x14ac:dyDescent="0.25">
      <c r="A5" s="4"/>
      <c r="B5" s="4"/>
      <c r="C5" s="12" t="s">
        <v>19</v>
      </c>
      <c r="D5" s="12"/>
      <c r="E5" s="12"/>
      <c r="F5" s="12"/>
      <c r="G5" s="12"/>
      <c r="H5" s="12"/>
      <c r="I5" s="12"/>
      <c r="J5" s="4"/>
      <c r="L5" s="4"/>
      <c r="M5" s="9" t="s">
        <v>6</v>
      </c>
      <c r="N5" s="9" t="s">
        <v>7</v>
      </c>
      <c r="O5" s="9" t="s">
        <v>8</v>
      </c>
      <c r="P5" s="9" t="s">
        <v>9</v>
      </c>
      <c r="Q5" s="9" t="s">
        <v>10</v>
      </c>
      <c r="R5" s="9" t="s">
        <v>11</v>
      </c>
      <c r="S5" s="9" t="s">
        <v>12</v>
      </c>
      <c r="T5" s="4"/>
      <c r="U5" s="9" t="s">
        <v>18</v>
      </c>
    </row>
    <row r="6" spans="1:21" ht="30" x14ac:dyDescent="0.25">
      <c r="A6" s="4"/>
      <c r="B6" s="4"/>
      <c r="C6" s="8" t="s">
        <v>6</v>
      </c>
      <c r="D6" s="8" t="s">
        <v>7</v>
      </c>
      <c r="E6" s="8" t="s">
        <v>8</v>
      </c>
      <c r="F6" s="8" t="s">
        <v>9</v>
      </c>
      <c r="G6" s="8" t="s">
        <v>10</v>
      </c>
      <c r="H6" s="8" t="s">
        <v>11</v>
      </c>
      <c r="I6" s="1" t="s">
        <v>17</v>
      </c>
      <c r="J6" s="4"/>
      <c r="L6" s="9" t="s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4">
        <f>SUM(P1_)</f>
        <v>1</v>
      </c>
      <c r="T6" s="6" t="s">
        <v>13</v>
      </c>
      <c r="U6" s="4">
        <v>1</v>
      </c>
    </row>
    <row r="7" spans="1:21" x14ac:dyDescent="0.25">
      <c r="A7" s="13" t="s">
        <v>20</v>
      </c>
      <c r="B7" s="8" t="s">
        <v>0</v>
      </c>
      <c r="C7" s="2">
        <v>113</v>
      </c>
      <c r="D7" s="2">
        <v>111</v>
      </c>
      <c r="E7" s="2">
        <v>108</v>
      </c>
      <c r="F7" s="2">
        <v>101</v>
      </c>
      <c r="G7" s="2">
        <v>108</v>
      </c>
      <c r="H7" s="2">
        <v>119</v>
      </c>
      <c r="I7" s="5">
        <f>SUM(Proje1Tklf)</f>
        <v>660</v>
      </c>
      <c r="J7" s="4"/>
      <c r="L7" s="9" t="s">
        <v>1</v>
      </c>
      <c r="M7" s="2">
        <v>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4">
        <f>SUM(P2_)</f>
        <v>1</v>
      </c>
      <c r="T7" s="6" t="s">
        <v>13</v>
      </c>
      <c r="U7" s="4">
        <v>1</v>
      </c>
    </row>
    <row r="8" spans="1:21" x14ac:dyDescent="0.25">
      <c r="A8" s="13"/>
      <c r="B8" s="8" t="s">
        <v>1</v>
      </c>
      <c r="C8" s="2">
        <v>57</v>
      </c>
      <c r="D8" s="2">
        <v>71</v>
      </c>
      <c r="E8" s="2">
        <v>59</v>
      </c>
      <c r="F8" s="2">
        <v>85</v>
      </c>
      <c r="G8" s="2">
        <v>72</v>
      </c>
      <c r="H8" s="2">
        <v>83</v>
      </c>
      <c r="I8" s="5">
        <f>SUM(Proje2Tklf)</f>
        <v>427</v>
      </c>
      <c r="J8" s="4"/>
      <c r="L8" s="9" t="s">
        <v>2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4">
        <f>SUM(P3_)</f>
        <v>1</v>
      </c>
      <c r="T8" s="6" t="s">
        <v>13</v>
      </c>
      <c r="U8" s="4">
        <v>1</v>
      </c>
    </row>
    <row r="9" spans="1:21" x14ac:dyDescent="0.25">
      <c r="A9" s="13"/>
      <c r="B9" s="8" t="s">
        <v>2</v>
      </c>
      <c r="C9" s="2">
        <v>247</v>
      </c>
      <c r="D9" s="2">
        <v>249</v>
      </c>
      <c r="E9" s="2">
        <v>232</v>
      </c>
      <c r="F9" s="2">
        <v>164</v>
      </c>
      <c r="G9" s="2">
        <v>215</v>
      </c>
      <c r="H9" s="2">
        <v>224</v>
      </c>
      <c r="I9" s="5">
        <f>SUM(Proje3Tklf)</f>
        <v>1331</v>
      </c>
      <c r="J9" s="4"/>
      <c r="L9" s="9" t="s">
        <v>3</v>
      </c>
      <c r="M9" s="2">
        <v>0</v>
      </c>
      <c r="N9" s="2">
        <v>0</v>
      </c>
      <c r="O9" s="2">
        <v>0</v>
      </c>
      <c r="P9" s="2">
        <v>0</v>
      </c>
      <c r="Q9" s="2">
        <v>1</v>
      </c>
      <c r="R9" s="2">
        <v>0</v>
      </c>
      <c r="S9" s="4">
        <f>SUM(P4_)</f>
        <v>1</v>
      </c>
      <c r="T9" s="6" t="s">
        <v>13</v>
      </c>
      <c r="U9" s="4">
        <v>1</v>
      </c>
    </row>
    <row r="10" spans="1:21" x14ac:dyDescent="0.25">
      <c r="A10" s="13"/>
      <c r="B10" s="8" t="s">
        <v>3</v>
      </c>
      <c r="C10" s="2">
        <v>186</v>
      </c>
      <c r="D10" s="2">
        <v>158</v>
      </c>
      <c r="E10" s="2">
        <v>126</v>
      </c>
      <c r="F10" s="2">
        <v>158</v>
      </c>
      <c r="G10" s="2">
        <v>115</v>
      </c>
      <c r="H10" s="2">
        <v>164</v>
      </c>
      <c r="I10" s="5">
        <f>SUM(Proje4Tklf)</f>
        <v>907</v>
      </c>
      <c r="J10" s="4"/>
      <c r="L10" s="9" t="s">
        <v>4</v>
      </c>
      <c r="M10" s="2">
        <v>0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4">
        <f>SUM(P5_)</f>
        <v>1</v>
      </c>
      <c r="T10" s="6" t="s">
        <v>13</v>
      </c>
      <c r="U10" s="4">
        <v>1</v>
      </c>
    </row>
    <row r="11" spans="1:21" x14ac:dyDescent="0.25">
      <c r="A11" s="13"/>
      <c r="B11" s="8" t="s">
        <v>4</v>
      </c>
      <c r="C11" s="2">
        <v>96</v>
      </c>
      <c r="D11" s="2">
        <v>115</v>
      </c>
      <c r="E11" s="2">
        <v>80</v>
      </c>
      <c r="F11" s="2">
        <v>97</v>
      </c>
      <c r="G11" s="2">
        <v>124</v>
      </c>
      <c r="H11" s="2">
        <v>117</v>
      </c>
      <c r="I11" s="5">
        <f>SUM(Proje5Tklf)</f>
        <v>629</v>
      </c>
      <c r="J11" s="4"/>
      <c r="L11" s="9" t="s">
        <v>5</v>
      </c>
      <c r="M11" s="2">
        <v>0</v>
      </c>
      <c r="N11" s="2">
        <v>1</v>
      </c>
      <c r="O11" s="2">
        <v>0</v>
      </c>
      <c r="P11" s="2">
        <v>0</v>
      </c>
      <c r="Q11" s="2">
        <v>0</v>
      </c>
      <c r="R11" s="2">
        <v>0</v>
      </c>
      <c r="S11" s="4">
        <f>SUM(P6_)</f>
        <v>1</v>
      </c>
      <c r="T11" s="6" t="s">
        <v>13</v>
      </c>
      <c r="U11" s="4">
        <v>1</v>
      </c>
    </row>
    <row r="12" spans="1:21" x14ac:dyDescent="0.25">
      <c r="A12" s="13"/>
      <c r="B12" s="8" t="s">
        <v>5</v>
      </c>
      <c r="C12" s="2">
        <v>344</v>
      </c>
      <c r="D12" s="2">
        <v>311</v>
      </c>
      <c r="E12" s="2">
        <v>297</v>
      </c>
      <c r="F12" s="2">
        <v>292</v>
      </c>
      <c r="G12" s="2">
        <v>345</v>
      </c>
      <c r="H12" s="2">
        <v>331</v>
      </c>
      <c r="I12" s="5">
        <f>SUM(Proje6Tklf)</f>
        <v>1920</v>
      </c>
      <c r="J12" s="4"/>
      <c r="L12" s="9" t="s">
        <v>14</v>
      </c>
      <c r="M12" s="4">
        <f>SUM(M6:M11)</f>
        <v>1</v>
      </c>
      <c r="N12" s="4">
        <f t="shared" ref="N12:R12" si="0">SUM(N6:N11)</f>
        <v>1</v>
      </c>
      <c r="O12" s="4">
        <f>SUM(O6:O11)</f>
        <v>1</v>
      </c>
      <c r="P12" s="4">
        <f t="shared" si="0"/>
        <v>1</v>
      </c>
      <c r="Q12" s="4">
        <f>SUM(Q6:Q11)</f>
        <v>1</v>
      </c>
      <c r="R12" s="4">
        <f t="shared" si="0"/>
        <v>1</v>
      </c>
      <c r="S12" s="4"/>
      <c r="T12" s="6"/>
      <c r="U12" s="4"/>
    </row>
    <row r="13" spans="1:21" ht="48" customHeight="1" x14ac:dyDescent="0.25">
      <c r="A13" s="13"/>
      <c r="B13" s="1" t="s">
        <v>16</v>
      </c>
      <c r="C13" s="3">
        <f>SUM(Firma1)</f>
        <v>1043</v>
      </c>
      <c r="D13" s="3">
        <f>SUM(Firma2)</f>
        <v>1015</v>
      </c>
      <c r="E13" s="3">
        <f>SUM(Firma3)</f>
        <v>902</v>
      </c>
      <c r="F13" s="3">
        <f>SUM(Firma4)</f>
        <v>897</v>
      </c>
      <c r="G13" s="3">
        <f>SUM(Firma5)</f>
        <v>979</v>
      </c>
      <c r="H13" s="3">
        <f>SUM(Firma6)</f>
        <v>1038</v>
      </c>
      <c r="I13" s="15">
        <f>SUM(C13:H13)</f>
        <v>5874</v>
      </c>
      <c r="J13" s="15">
        <f>SUM(I7:I12)</f>
        <v>5874</v>
      </c>
      <c r="L13" s="4"/>
      <c r="M13" s="6" t="s">
        <v>13</v>
      </c>
      <c r="N13" s="6" t="s">
        <v>13</v>
      </c>
      <c r="O13" s="6" t="s">
        <v>13</v>
      </c>
      <c r="P13" s="6" t="s">
        <v>13</v>
      </c>
      <c r="Q13" s="6" t="s">
        <v>13</v>
      </c>
      <c r="R13" s="6" t="s">
        <v>13</v>
      </c>
      <c r="S13" s="4"/>
      <c r="T13" s="4"/>
      <c r="U13" s="4"/>
    </row>
    <row r="14" spans="1:21" x14ac:dyDescent="0.25">
      <c r="L14" s="10" t="s">
        <v>15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/>
      <c r="T14" s="4"/>
      <c r="U14" s="4"/>
    </row>
    <row r="15" spans="1:21" x14ac:dyDescent="0.25">
      <c r="A15" s="4"/>
    </row>
    <row r="16" spans="1:21" x14ac:dyDescent="0.25">
      <c r="A16" s="4"/>
      <c r="B16" s="11" t="s">
        <v>21</v>
      </c>
    </row>
    <row r="17" spans="1:2" ht="18.75" x14ac:dyDescent="0.25">
      <c r="A17" s="4"/>
      <c r="B17" s="7">
        <f>SUMPRODUCT(Harcama,Karar)</f>
        <v>846</v>
      </c>
    </row>
    <row r="18" spans="1:2" x14ac:dyDescent="0.25">
      <c r="A18" s="4"/>
    </row>
    <row r="19" spans="1:2" x14ac:dyDescent="0.25">
      <c r="A19" s="4"/>
    </row>
    <row r="20" spans="1:2" x14ac:dyDescent="0.25">
      <c r="A20" s="4"/>
    </row>
    <row r="21" spans="1:2" x14ac:dyDescent="0.25">
      <c r="A21" s="4"/>
    </row>
    <row r="22" spans="1:2" x14ac:dyDescent="0.25">
      <c r="A22" s="4"/>
    </row>
    <row r="23" spans="1:2" x14ac:dyDescent="0.25">
      <c r="A23" s="4"/>
    </row>
    <row r="24" spans="1:2" x14ac:dyDescent="0.25">
      <c r="A24" s="4"/>
    </row>
  </sheetData>
  <mergeCells count="4">
    <mergeCell ref="C5:I5"/>
    <mergeCell ref="A7:A13"/>
    <mergeCell ref="C2:I3"/>
    <mergeCell ref="L3:U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26</vt:i4>
      </vt:variant>
    </vt:vector>
  </HeadingPairs>
  <TitlesOfParts>
    <vt:vector size="27" baseType="lpstr">
      <vt:lpstr>SSM</vt:lpstr>
      <vt:lpstr>AltT</vt:lpstr>
      <vt:lpstr>EnKHedef</vt:lpstr>
      <vt:lpstr>Firma1</vt:lpstr>
      <vt:lpstr>Firma2</vt:lpstr>
      <vt:lpstr>Firma3</vt:lpstr>
      <vt:lpstr>Firma4</vt:lpstr>
      <vt:lpstr>Firma5</vt:lpstr>
      <vt:lpstr>Firma6</vt:lpstr>
      <vt:lpstr>Harcama</vt:lpstr>
      <vt:lpstr>Karar</vt:lpstr>
      <vt:lpstr>Maliyet</vt:lpstr>
      <vt:lpstr>P1_</vt:lpstr>
      <vt:lpstr>P2_</vt:lpstr>
      <vt:lpstr>P3_</vt:lpstr>
      <vt:lpstr>P4_</vt:lpstr>
      <vt:lpstr>P5_</vt:lpstr>
      <vt:lpstr>P6_</vt:lpstr>
      <vt:lpstr>Proje1Tklf</vt:lpstr>
      <vt:lpstr>Proje2Tklf</vt:lpstr>
      <vt:lpstr>Proje3Tklf</vt:lpstr>
      <vt:lpstr>Proje4Tklf</vt:lpstr>
      <vt:lpstr>Proje5Tklf</vt:lpstr>
      <vt:lpstr>Proje6Tklf</vt:lpstr>
      <vt:lpstr>SagT</vt:lpstr>
      <vt:lpstr>SolT</vt:lpstr>
      <vt:lpstr>UstT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Gülben Arslan</dc:creator>
  <cp:lastModifiedBy>aa</cp:lastModifiedBy>
  <dcterms:created xsi:type="dcterms:W3CDTF">2022-04-27T08:23:25Z</dcterms:created>
  <dcterms:modified xsi:type="dcterms:W3CDTF">2022-05-06T06:55:45Z</dcterms:modified>
</cp:coreProperties>
</file>