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6"/>
  <workbookPr filterPrivacy="1"/>
  <xr:revisionPtr revIDLastSave="0" documentId="13_ncr:1_{88107EB1-4DA8-4044-8C32-DAACB5E51D3B}" xr6:coauthVersionLast="36" xr6:coauthVersionMax="47" xr10:uidLastSave="{00000000-0000-0000-0000-000000000000}"/>
  <bookViews>
    <workbookView xWindow="0" yWindow="0" windowWidth="24435" windowHeight="11685" xr2:uid="{00000000-000D-0000-FFFF-FFFF00000000}"/>
  </bookViews>
  <sheets>
    <sheet name="Sayfa1" sheetId="1" r:id="rId1"/>
  </sheets>
  <definedNames>
    <definedName name="AylikStokMiktari">Sayfa1!$B$34:$E$34</definedName>
    <definedName name="FazlaMesaiSiniri">Sayfa1!$B$25:$E$25</definedName>
    <definedName name="İseAlinanİsciSayisi">Sayfa1!$B$18:$E$18</definedName>
    <definedName name="İstenCikartilanİsciSayisi">Sayfa1!$B$19:$E$19</definedName>
    <definedName name="KullanilanFazlaMesai">Sayfa1!$B$23:$E$23</definedName>
    <definedName name="solver_adj" localSheetId="0" hidden="1">Sayfa1!$B$18:$E$18,Sayfa1!$B$19:$E$19,Sayfa1!$B$23:$E$23,Sayfa1!$B$30:$E$30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Sayfa1!$B$34:$E$34</definedName>
    <definedName name="solver_lhs2" localSheetId="0" hidden="1">Sayfa1!$B$23:$E$23</definedName>
    <definedName name="solver_lhs3" localSheetId="0" hidden="1">Sayfa1!$B$30:$E$30</definedName>
    <definedName name="solver_lhs4" localSheetId="0" hidden="1">Sayfa1!$B$18:$E$18</definedName>
    <definedName name="solver_lhs5" localSheetId="0" hidden="1">Sayfa1!$B$19:$E$19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</definedName>
    <definedName name="solver_nwt" localSheetId="0" hidden="1">1</definedName>
    <definedName name="solver_opt" localSheetId="0" hidden="1">Sayfa1!$F$46</definedName>
    <definedName name="solver_pre" localSheetId="0" hidden="1">0.000001</definedName>
    <definedName name="solver_rbv" localSheetId="0" hidden="1">2</definedName>
    <definedName name="solver_rel1" localSheetId="0" hidden="1">3</definedName>
    <definedName name="solver_rel2" localSheetId="0" hidden="1">1</definedName>
    <definedName name="solver_rel3" localSheetId="0" hidden="1">1</definedName>
    <definedName name="solver_rel4" localSheetId="0" hidden="1">4</definedName>
    <definedName name="solver_rel5" localSheetId="0" hidden="1">4</definedName>
    <definedName name="solver_rhs1" localSheetId="0" hidden="1">TalepEdilenMiktar</definedName>
    <definedName name="solver_rhs2" localSheetId="0" hidden="1">FazlaMesaiSiniri</definedName>
    <definedName name="solver_rhs3" localSheetId="0" hidden="1">UretimKapasitesi</definedName>
    <definedName name="solver_rhs4" localSheetId="0" hidden="1">"tamsayı"</definedName>
    <definedName name="solver_rhs5" localSheetId="0" hidden="1">"tamsayı"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0</definedName>
    <definedName name="solver_tim" localSheetId="0" hidden="1">2147483647</definedName>
    <definedName name="solver_tol" localSheetId="0" hidden="1">0</definedName>
    <definedName name="solver_typ" localSheetId="0" hidden="1">2</definedName>
    <definedName name="solver_val" localSheetId="0" hidden="1">0</definedName>
    <definedName name="solver_ver" localSheetId="0" hidden="1">3</definedName>
    <definedName name="TalepEdilenMiktar">Sayfa1!$B$36:$E$36</definedName>
    <definedName name="ToplamMaliyet">Sayfa1!$F$46</definedName>
    <definedName name="UretilenPowerbankSayisi">Sayfa1!$B$30:$E$30</definedName>
    <definedName name="UretimKapasitesi">Sayfa1!$B$32:$E$32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4" i="1" l="1"/>
  <c r="B44" i="1"/>
  <c r="D43" i="1"/>
  <c r="B43" i="1"/>
  <c r="D41" i="1"/>
  <c r="B41" i="1"/>
  <c r="C40" i="1"/>
  <c r="B40" i="1"/>
  <c r="B20" i="1"/>
  <c r="B42" i="1" s="1"/>
  <c r="B17" i="1"/>
  <c r="C17" i="1" l="1"/>
  <c r="C20" i="1" s="1"/>
  <c r="D17" i="1" s="1"/>
  <c r="D20" i="1" s="1"/>
  <c r="E17" i="1" s="1"/>
  <c r="E20" i="1" s="1"/>
  <c r="D40" i="1"/>
  <c r="E40" i="1"/>
  <c r="C41" i="1"/>
  <c r="E41" i="1"/>
  <c r="C43" i="1"/>
  <c r="E43" i="1"/>
  <c r="C44" i="1"/>
  <c r="D44" i="1"/>
  <c r="B22" i="1" l="1"/>
  <c r="C42" i="1"/>
  <c r="B27" i="1"/>
  <c r="B34" i="1" s="1"/>
  <c r="B37" i="1" s="1"/>
  <c r="B45" i="1" s="1"/>
  <c r="B46" i="1" s="1"/>
  <c r="F44" i="1"/>
  <c r="F43" i="1"/>
  <c r="F41" i="1"/>
  <c r="F40" i="1"/>
  <c r="B25" i="1"/>
  <c r="C25" i="1" l="1"/>
  <c r="C22" i="1"/>
  <c r="C27" i="1" s="1"/>
  <c r="C32" i="1" s="1"/>
  <c r="C34" i="1"/>
  <c r="C37" i="1" s="1"/>
  <c r="B32" i="1"/>
  <c r="D42" i="1" l="1"/>
  <c r="D25" i="1"/>
  <c r="D22" i="1"/>
  <c r="D27" i="1" s="1"/>
  <c r="D32" i="1" s="1"/>
  <c r="E22" i="1"/>
  <c r="E27" i="1" s="1"/>
  <c r="E32" i="1" s="1"/>
  <c r="E42" i="1"/>
  <c r="F42" i="1" s="1"/>
  <c r="E25" i="1"/>
  <c r="D34" i="1"/>
  <c r="D37" i="1" s="1"/>
  <c r="D45" i="1" s="1"/>
  <c r="D46" i="1" s="1"/>
  <c r="C45" i="1"/>
  <c r="C46" i="1" s="1"/>
  <c r="E34" i="1" l="1"/>
  <c r="E37" i="1" s="1"/>
  <c r="E45" i="1" s="1"/>
  <c r="E46" i="1" s="1"/>
  <c r="F46" i="1" s="1"/>
  <c r="F45" i="1" l="1"/>
</calcChain>
</file>

<file path=xl/sharedStrings.xml><?xml version="1.0" encoding="utf-8"?>
<sst xmlns="http://schemas.openxmlformats.org/spreadsheetml/2006/main" count="84" uniqueCount="46">
  <si>
    <t>1.ay</t>
  </si>
  <si>
    <t>2.ay</t>
  </si>
  <si>
    <t>3.ay</t>
  </si>
  <si>
    <t>4.ay</t>
  </si>
  <si>
    <t>İşçi aylık çalışma süresi</t>
  </si>
  <si>
    <t>saat</t>
  </si>
  <si>
    <t>TL</t>
  </si>
  <si>
    <t>kişi</t>
  </si>
  <si>
    <t>adet</t>
  </si>
  <si>
    <t>Saatlik fazla mesai ücreti</t>
  </si>
  <si>
    <t>Girdi Verileri</t>
  </si>
  <si>
    <t>Başlangıç stok sayısı</t>
  </si>
  <si>
    <t>Başlangıç çalışan sayısı</t>
  </si>
  <si>
    <t>İşe alınan işçi maliyeti</t>
  </si>
  <si>
    <t>İşten çıkarılan işçi maliyeti</t>
  </si>
  <si>
    <t>Çalışana yapılan aylık ödeme</t>
  </si>
  <si>
    <t>İşçi planı</t>
  </si>
  <si>
    <t>Önceki aydan devam eden işçi sayısı</t>
  </si>
  <si>
    <t>İşe alınan işçi sayısı</t>
  </si>
  <si>
    <t>İşten çıkartılan işçi sayısı</t>
  </si>
  <si>
    <t>Alım/Ayrılış işleminden sonra işçi sayısı</t>
  </si>
  <si>
    <t>Normal çalışma süresi</t>
  </si>
  <si>
    <t>İşçinin aylık fazla mesai süresi</t>
  </si>
  <si>
    <t>&lt;=</t>
  </si>
  <si>
    <t>Toplam fazla mesai sınırı</t>
  </si>
  <si>
    <t>Kullanılan fazla mesai süresi</t>
  </si>
  <si>
    <t>Üretim için harcanan toplam süre</t>
  </si>
  <si>
    <t>Üretim planı</t>
  </si>
  <si>
    <t>Üretim kapasitesi</t>
  </si>
  <si>
    <t>Üretimden sonraki stok miktarı</t>
  </si>
  <si>
    <t>&gt;=</t>
  </si>
  <si>
    <t>Tahmin edilen talep miktarı</t>
  </si>
  <si>
    <t>Ay sonundaki stok miktarı</t>
  </si>
  <si>
    <t>Maliyet Hesapları</t>
  </si>
  <si>
    <t>İşe alım maliyeti</t>
  </si>
  <si>
    <t>İşten çıkarma maliyeti</t>
  </si>
  <si>
    <t>Fazla mesai ödemeleri</t>
  </si>
  <si>
    <t>Normal mesai ödemeleri</t>
  </si>
  <si>
    <t>Ham malzeme maliyeti</t>
  </si>
  <si>
    <t>Stok tutma maliyeti</t>
  </si>
  <si>
    <t>Toplam Maliyet</t>
  </si>
  <si>
    <t>Bir powerbank üretim süresi</t>
  </si>
  <si>
    <t>Bir powerbank üretim maliyeti</t>
  </si>
  <si>
    <t>Bir powerbank stok maliyeti</t>
  </si>
  <si>
    <t>Üretilen powerbank sayısı</t>
  </si>
  <si>
    <t>Powerbank Üretimi Planlama Örneği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</si>
</sst>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₺&quot;#,##0.000"/>
    <numFmt numFmtId="165" formatCode="&quot;₺&quot;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2" fillId="0" borderId="0" xfId="0" applyFont="1"/>
    <xf numFmtId="164" fontId="0" fillId="0" borderId="0" xfId="0" applyNumberFormat="1"/>
    <xf numFmtId="165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/>
    </xf>
    <xf numFmtId="0" fontId="0" fillId="0" borderId="0" xfId="0" applyAlignment="1">
      <alignment horizontal="right" vertical="center"/>
    </xf>
    <xf numFmtId="0" fontId="0" fillId="4" borderId="0" xfId="0" applyFill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0" fillId="5" borderId="0" xfId="0" applyFill="1" applyAlignment="1">
      <alignment horizontal="right" vertical="center"/>
    </xf>
    <xf numFmtId="0" fontId="0" fillId="0" borderId="0" xfId="0" applyFill="1" applyAlignment="1">
      <alignment horizontal="right" vertical="center"/>
    </xf>
    <xf numFmtId="165" fontId="0" fillId="2" borderId="0" xfId="0" applyNumberFormat="1" applyFill="1" applyAlignment="1">
      <alignment horizontal="right" vertical="center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47"/>
  <sheetViews>
    <sheetView tabSelected="1" topLeftCell="A19" zoomScale="85" zoomScaleNormal="85" workbookViewId="0">
      <selection activeCell="A2" sqref="A2"/>
    </sheetView>
  </sheetViews>
  <sheetFormatPr defaultRowHeight="15" x14ac:dyDescent="0.25"/>
  <cols>
    <col min="1" max="1" width="38" bestFit="1" customWidth="1"/>
    <col min="2" max="6" width="12.5703125" customWidth="1"/>
  </cols>
  <sheetData>
    <row r="1" spans="1:6" ht="21" x14ac:dyDescent="0.35">
      <c r="A1" s="13" t="s">
        <v>45</v>
      </c>
      <c r="B1" s="13"/>
      <c r="C1" s="13"/>
      <c r="D1" s="13"/>
      <c r="E1" s="13"/>
      <c r="F1" s="13"/>
    </row>
    <row r="3" spans="1:6" x14ac:dyDescent="0.25">
      <c r="A3" s="1" t="s">
        <v>10</v>
      </c>
    </row>
    <row r="4" spans="1:6" x14ac:dyDescent="0.25">
      <c r="A4" t="s">
        <v>11</v>
      </c>
      <c r="B4">
        <v>500</v>
      </c>
      <c r="C4" t="s">
        <v>8</v>
      </c>
    </row>
    <row r="5" spans="1:6" x14ac:dyDescent="0.25">
      <c r="A5" t="s">
        <v>12</v>
      </c>
      <c r="B5">
        <v>100</v>
      </c>
      <c r="C5" t="s">
        <v>7</v>
      </c>
    </row>
    <row r="6" spans="1:6" x14ac:dyDescent="0.25">
      <c r="A6" t="s">
        <v>4</v>
      </c>
      <c r="B6">
        <v>160</v>
      </c>
      <c r="C6" t="s">
        <v>5</v>
      </c>
    </row>
    <row r="7" spans="1:6" x14ac:dyDescent="0.25">
      <c r="A7" t="s">
        <v>22</v>
      </c>
      <c r="B7">
        <v>20</v>
      </c>
      <c r="C7" t="s">
        <v>5</v>
      </c>
    </row>
    <row r="8" spans="1:6" x14ac:dyDescent="0.25">
      <c r="A8" t="s">
        <v>13</v>
      </c>
      <c r="B8">
        <v>1600</v>
      </c>
      <c r="C8" t="s">
        <v>6</v>
      </c>
    </row>
    <row r="9" spans="1:6" x14ac:dyDescent="0.25">
      <c r="A9" t="s">
        <v>14</v>
      </c>
      <c r="B9">
        <v>2000</v>
      </c>
      <c r="C9" t="s">
        <v>6</v>
      </c>
    </row>
    <row r="10" spans="1:6" x14ac:dyDescent="0.25">
      <c r="A10" t="s">
        <v>15</v>
      </c>
      <c r="B10">
        <v>1500</v>
      </c>
      <c r="C10" t="s">
        <v>6</v>
      </c>
    </row>
    <row r="11" spans="1:6" x14ac:dyDescent="0.25">
      <c r="A11" t="s">
        <v>9</v>
      </c>
      <c r="B11">
        <v>13</v>
      </c>
      <c r="C11" t="s">
        <v>6</v>
      </c>
    </row>
    <row r="12" spans="1:6" x14ac:dyDescent="0.25">
      <c r="A12" t="s">
        <v>41</v>
      </c>
      <c r="B12">
        <v>4</v>
      </c>
      <c r="C12" t="s">
        <v>5</v>
      </c>
    </row>
    <row r="13" spans="1:6" x14ac:dyDescent="0.25">
      <c r="A13" t="s">
        <v>42</v>
      </c>
      <c r="B13">
        <v>15</v>
      </c>
      <c r="C13" t="s">
        <v>6</v>
      </c>
    </row>
    <row r="14" spans="1:6" x14ac:dyDescent="0.25">
      <c r="A14" t="s">
        <v>43</v>
      </c>
      <c r="B14">
        <v>3</v>
      </c>
      <c r="C14" t="s">
        <v>6</v>
      </c>
    </row>
    <row r="16" spans="1:6" ht="18.75" x14ac:dyDescent="0.3">
      <c r="A16" s="2" t="s">
        <v>16</v>
      </c>
      <c r="B16" s="8" t="s">
        <v>0</v>
      </c>
      <c r="C16" s="8" t="s">
        <v>1</v>
      </c>
      <c r="D16" s="8" t="s">
        <v>2</v>
      </c>
      <c r="E16" s="8" t="s">
        <v>3</v>
      </c>
    </row>
    <row r="17" spans="1:6" x14ac:dyDescent="0.25">
      <c r="A17" t="s">
        <v>17</v>
      </c>
      <c r="B17" s="6">
        <f>B5</f>
        <v>100</v>
      </c>
      <c r="C17" s="12">
        <f>B20</f>
        <v>94</v>
      </c>
      <c r="D17" s="12">
        <f>C20</f>
        <v>93</v>
      </c>
      <c r="E17" s="12">
        <f>D20</f>
        <v>50</v>
      </c>
      <c r="F17" t="s">
        <v>7</v>
      </c>
    </row>
    <row r="18" spans="1:6" x14ac:dyDescent="0.25">
      <c r="A18" t="s">
        <v>18</v>
      </c>
      <c r="B18" s="7">
        <v>0</v>
      </c>
      <c r="C18" s="7">
        <v>0</v>
      </c>
      <c r="D18" s="7">
        <v>0</v>
      </c>
      <c r="E18" s="7">
        <v>0</v>
      </c>
      <c r="F18" t="s">
        <v>7</v>
      </c>
    </row>
    <row r="19" spans="1:6" x14ac:dyDescent="0.25">
      <c r="A19" t="s">
        <v>19</v>
      </c>
      <c r="B19" s="7">
        <v>6</v>
      </c>
      <c r="C19" s="7">
        <v>1</v>
      </c>
      <c r="D19" s="7">
        <v>43</v>
      </c>
      <c r="E19" s="7">
        <v>0</v>
      </c>
      <c r="F19" t="s">
        <v>7</v>
      </c>
    </row>
    <row r="20" spans="1:6" x14ac:dyDescent="0.25">
      <c r="A20" t="s">
        <v>20</v>
      </c>
      <c r="B20" s="6">
        <f>B17+B18-B19</f>
        <v>94</v>
      </c>
      <c r="C20" s="6">
        <f>C17+C18-C19</f>
        <v>93</v>
      </c>
      <c r="D20" s="6">
        <f>D17+D18-D19</f>
        <v>50</v>
      </c>
      <c r="E20" s="6">
        <f>E17+E18-E19</f>
        <v>50</v>
      </c>
      <c r="F20" t="s">
        <v>7</v>
      </c>
    </row>
    <row r="21" spans="1:6" x14ac:dyDescent="0.25">
      <c r="B21" s="6"/>
      <c r="C21" s="6"/>
      <c r="D21" s="6"/>
      <c r="E21" s="6"/>
    </row>
    <row r="22" spans="1:6" x14ac:dyDescent="0.25">
      <c r="A22" t="s">
        <v>21</v>
      </c>
      <c r="B22" s="6">
        <f>B20*$B$6</f>
        <v>15040</v>
      </c>
      <c r="C22" s="6">
        <f>C20*$B$6</f>
        <v>14880</v>
      </c>
      <c r="D22" s="6">
        <f t="shared" ref="D22:E22" si="0">D20*$B$6</f>
        <v>8000</v>
      </c>
      <c r="E22" s="6">
        <f t="shared" si="0"/>
        <v>8000</v>
      </c>
      <c r="F22" t="s">
        <v>5</v>
      </c>
    </row>
    <row r="23" spans="1:6" x14ac:dyDescent="0.25">
      <c r="A23" t="s">
        <v>25</v>
      </c>
      <c r="B23" s="7">
        <v>0</v>
      </c>
      <c r="C23" s="7">
        <v>80.000000000002274</v>
      </c>
      <c r="D23" s="7">
        <v>0</v>
      </c>
      <c r="E23" s="7">
        <v>0</v>
      </c>
      <c r="F23" t="s">
        <v>5</v>
      </c>
    </row>
    <row r="24" spans="1:6" x14ac:dyDescent="0.25">
      <c r="B24" s="6" t="s">
        <v>23</v>
      </c>
      <c r="C24" s="6" t="s">
        <v>23</v>
      </c>
      <c r="D24" s="6" t="s">
        <v>23</v>
      </c>
      <c r="E24" s="6" t="s">
        <v>23</v>
      </c>
    </row>
    <row r="25" spans="1:6" x14ac:dyDescent="0.25">
      <c r="A25" t="s">
        <v>24</v>
      </c>
      <c r="B25" s="6">
        <f>$B$7*B20</f>
        <v>1880</v>
      </c>
      <c r="C25" s="6">
        <f t="shared" ref="C25:E25" si="1">$B$7*C20</f>
        <v>1860</v>
      </c>
      <c r="D25" s="6">
        <f t="shared" si="1"/>
        <v>1000</v>
      </c>
      <c r="E25" s="6">
        <f t="shared" si="1"/>
        <v>1000</v>
      </c>
      <c r="F25" t="s">
        <v>5</v>
      </c>
    </row>
    <row r="26" spans="1:6" x14ac:dyDescent="0.25">
      <c r="B26" s="6"/>
      <c r="C26" s="6"/>
      <c r="D26" s="6"/>
      <c r="E26" s="6"/>
    </row>
    <row r="27" spans="1:6" x14ac:dyDescent="0.25">
      <c r="A27" t="s">
        <v>26</v>
      </c>
      <c r="B27" s="6">
        <f>B22+B23</f>
        <v>15040</v>
      </c>
      <c r="C27" s="6">
        <f t="shared" ref="C27:D27" si="2">C22+C23</f>
        <v>14960.000000000002</v>
      </c>
      <c r="D27" s="6">
        <f t="shared" si="2"/>
        <v>8000</v>
      </c>
      <c r="E27" s="6">
        <f>E22+E23</f>
        <v>8000</v>
      </c>
      <c r="F27" t="s">
        <v>5</v>
      </c>
    </row>
    <row r="28" spans="1:6" x14ac:dyDescent="0.25">
      <c r="B28" s="6"/>
      <c r="C28" s="6"/>
      <c r="D28" s="6"/>
      <c r="E28" s="6"/>
    </row>
    <row r="29" spans="1:6" ht="18.75" x14ac:dyDescent="0.3">
      <c r="A29" s="2" t="s">
        <v>27</v>
      </c>
      <c r="B29" s="8" t="s">
        <v>0</v>
      </c>
      <c r="C29" s="8" t="s">
        <v>1</v>
      </c>
      <c r="D29" s="8" t="s">
        <v>2</v>
      </c>
      <c r="E29" s="8" t="s">
        <v>3</v>
      </c>
    </row>
    <row r="30" spans="1:6" x14ac:dyDescent="0.25">
      <c r="A30" t="s">
        <v>44</v>
      </c>
      <c r="B30" s="7">
        <v>3760</v>
      </c>
      <c r="C30" s="7">
        <v>3740</v>
      </c>
      <c r="D30" s="7">
        <v>2000</v>
      </c>
      <c r="E30" s="7">
        <v>1000</v>
      </c>
      <c r="F30" t="s">
        <v>8</v>
      </c>
    </row>
    <row r="31" spans="1:6" x14ac:dyDescent="0.25">
      <c r="B31" s="6" t="s">
        <v>23</v>
      </c>
      <c r="C31" s="6" t="s">
        <v>23</v>
      </c>
      <c r="D31" s="6" t="s">
        <v>23</v>
      </c>
      <c r="E31" s="6" t="s">
        <v>23</v>
      </c>
    </row>
    <row r="32" spans="1:6" x14ac:dyDescent="0.25">
      <c r="A32" t="s">
        <v>28</v>
      </c>
      <c r="B32" s="6">
        <f>B27/$B$12</f>
        <v>3760</v>
      </c>
      <c r="C32" s="6">
        <f t="shared" ref="C32:E32" si="3">C27/$B$12</f>
        <v>3740.0000000000005</v>
      </c>
      <c r="D32" s="6">
        <f t="shared" si="3"/>
        <v>2000</v>
      </c>
      <c r="E32" s="6">
        <f t="shared" si="3"/>
        <v>2000</v>
      </c>
      <c r="F32" t="s">
        <v>8</v>
      </c>
    </row>
    <row r="33" spans="1:6" x14ac:dyDescent="0.25">
      <c r="B33" s="6"/>
      <c r="C33" s="6"/>
      <c r="D33" s="6"/>
      <c r="E33" s="6"/>
    </row>
    <row r="34" spans="1:6" x14ac:dyDescent="0.25">
      <c r="A34" t="s">
        <v>29</v>
      </c>
      <c r="B34" s="6">
        <f>B30+B4</f>
        <v>4260</v>
      </c>
      <c r="C34" s="6">
        <f>B37+C30</f>
        <v>5000</v>
      </c>
      <c r="D34" s="6">
        <f t="shared" ref="D34:E34" si="4">C37+D30</f>
        <v>2000</v>
      </c>
      <c r="E34" s="6">
        <f t="shared" si="4"/>
        <v>1000</v>
      </c>
      <c r="F34" t="s">
        <v>8</v>
      </c>
    </row>
    <row r="35" spans="1:6" x14ac:dyDescent="0.25">
      <c r="B35" s="6" t="s">
        <v>30</v>
      </c>
      <c r="C35" s="6" t="s">
        <v>30</v>
      </c>
      <c r="D35" s="6" t="s">
        <v>30</v>
      </c>
      <c r="E35" s="6" t="s">
        <v>30</v>
      </c>
    </row>
    <row r="36" spans="1:6" x14ac:dyDescent="0.25">
      <c r="A36" t="s">
        <v>31</v>
      </c>
      <c r="B36" s="9">
        <v>3000</v>
      </c>
      <c r="C36" s="9">
        <v>5000</v>
      </c>
      <c r="D36" s="9">
        <v>2000</v>
      </c>
      <c r="E36" s="9">
        <v>1000</v>
      </c>
      <c r="F36" t="s">
        <v>8</v>
      </c>
    </row>
    <row r="37" spans="1:6" x14ac:dyDescent="0.25">
      <c r="A37" t="s">
        <v>32</v>
      </c>
      <c r="B37" s="10">
        <f>B34-B36</f>
        <v>1260</v>
      </c>
      <c r="C37" s="10">
        <f t="shared" ref="C37:E37" si="5">C34-C36</f>
        <v>0</v>
      </c>
      <c r="D37" s="10">
        <f t="shared" si="5"/>
        <v>0</v>
      </c>
      <c r="E37" s="10">
        <f t="shared" si="5"/>
        <v>0</v>
      </c>
      <c r="F37" t="s">
        <v>8</v>
      </c>
    </row>
    <row r="38" spans="1:6" x14ac:dyDescent="0.25">
      <c r="B38" s="10"/>
      <c r="C38" s="10"/>
      <c r="D38" s="10"/>
      <c r="E38" s="10"/>
    </row>
    <row r="39" spans="1:6" ht="18.75" x14ac:dyDescent="0.3">
      <c r="A39" s="2" t="s">
        <v>33</v>
      </c>
      <c r="B39" s="8" t="s">
        <v>0</v>
      </c>
      <c r="C39" s="8" t="s">
        <v>1</v>
      </c>
      <c r="D39" s="8" t="s">
        <v>2</v>
      </c>
      <c r="E39" s="8" t="s">
        <v>3</v>
      </c>
    </row>
    <row r="40" spans="1:6" x14ac:dyDescent="0.25">
      <c r="A40" t="s">
        <v>34</v>
      </c>
      <c r="B40" s="4">
        <f>B18*$B$8</f>
        <v>0</v>
      </c>
      <c r="C40" s="4">
        <f>C18*$B$8</f>
        <v>0</v>
      </c>
      <c r="D40" s="4">
        <f t="shared" ref="C40:E40" si="6">D18*$B$8</f>
        <v>0</v>
      </c>
      <c r="E40" s="4">
        <f t="shared" si="6"/>
        <v>0</v>
      </c>
      <c r="F40" s="4">
        <f>SUM(B40:E40)</f>
        <v>0</v>
      </c>
    </row>
    <row r="41" spans="1:6" x14ac:dyDescent="0.25">
      <c r="A41" t="s">
        <v>35</v>
      </c>
      <c r="B41" s="5">
        <f>$B$9*B19</f>
        <v>12000</v>
      </c>
      <c r="C41" s="5">
        <f t="shared" ref="C41:E41" si="7">$B$9*C19</f>
        <v>2000</v>
      </c>
      <c r="D41" s="5">
        <f>$B$9*D19</f>
        <v>86000</v>
      </c>
      <c r="E41" s="5">
        <f t="shared" si="7"/>
        <v>0</v>
      </c>
      <c r="F41" s="4">
        <f t="shared" ref="F41:F46" si="8">SUM(B41:E41)</f>
        <v>100000</v>
      </c>
    </row>
    <row r="42" spans="1:6" x14ac:dyDescent="0.25">
      <c r="A42" t="s">
        <v>37</v>
      </c>
      <c r="B42" s="5">
        <f>B20*$B$10</f>
        <v>141000</v>
      </c>
      <c r="C42" s="5">
        <f t="shared" ref="C42:E42" si="9">C20*$B$10</f>
        <v>139500</v>
      </c>
      <c r="D42" s="5">
        <f t="shared" si="9"/>
        <v>75000</v>
      </c>
      <c r="E42" s="5">
        <f t="shared" si="9"/>
        <v>75000</v>
      </c>
      <c r="F42" s="4">
        <f t="shared" si="8"/>
        <v>430500</v>
      </c>
    </row>
    <row r="43" spans="1:6" x14ac:dyDescent="0.25">
      <c r="A43" t="s">
        <v>36</v>
      </c>
      <c r="B43" s="5">
        <f>B23*$B$11</f>
        <v>0</v>
      </c>
      <c r="C43" s="5">
        <f t="shared" ref="C43:E43" si="10">C23*$B$11</f>
        <v>1040.0000000000296</v>
      </c>
      <c r="D43" s="5">
        <f>D23*$B$11</f>
        <v>0</v>
      </c>
      <c r="E43" s="5">
        <f t="shared" si="10"/>
        <v>0</v>
      </c>
      <c r="F43" s="4">
        <f t="shared" si="8"/>
        <v>1040.0000000000296</v>
      </c>
    </row>
    <row r="44" spans="1:6" x14ac:dyDescent="0.25">
      <c r="A44" t="s">
        <v>38</v>
      </c>
      <c r="B44" s="5">
        <f>B30*$B$13</f>
        <v>56400</v>
      </c>
      <c r="C44" s="5">
        <f t="shared" ref="C44:E44" si="11">C30*$B$13</f>
        <v>56100</v>
      </c>
      <c r="D44" s="5">
        <f t="shared" si="11"/>
        <v>30000</v>
      </c>
      <c r="E44" s="5">
        <f>E30*$B$13</f>
        <v>15000</v>
      </c>
      <c r="F44" s="4">
        <f t="shared" si="8"/>
        <v>157500</v>
      </c>
    </row>
    <row r="45" spans="1:6" x14ac:dyDescent="0.25">
      <c r="A45" t="s">
        <v>39</v>
      </c>
      <c r="B45" s="5">
        <f>B37*$B$14</f>
        <v>3780</v>
      </c>
      <c r="C45" s="5">
        <f t="shared" ref="C45:E45" si="12">C37*$B$14</f>
        <v>0</v>
      </c>
      <c r="D45" s="5">
        <f t="shared" si="12"/>
        <v>0</v>
      </c>
      <c r="E45" s="5">
        <f t="shared" si="12"/>
        <v>0</v>
      </c>
      <c r="F45" s="4">
        <f>SUM(B45:E45)</f>
        <v>3780</v>
      </c>
    </row>
    <row r="46" spans="1:6" x14ac:dyDescent="0.25">
      <c r="A46" t="s">
        <v>40</v>
      </c>
      <c r="B46" s="5">
        <f>SUM(B40:B45)</f>
        <v>213180</v>
      </c>
      <c r="C46" s="5">
        <f t="shared" ref="C46:E46" si="13">SUM(C40:C45)</f>
        <v>198640.00000000003</v>
      </c>
      <c r="D46" s="5">
        <f t="shared" si="13"/>
        <v>191000</v>
      </c>
      <c r="E46" s="5">
        <f t="shared" si="13"/>
        <v>90000</v>
      </c>
      <c r="F46" s="11">
        <f t="shared" si="8"/>
        <v>692820</v>
      </c>
    </row>
    <row r="47" spans="1:6" x14ac:dyDescent="0.25">
      <c r="B47" s="3"/>
      <c r="C47" s="3"/>
      <c r="D47" s="3"/>
      <c r="E47" s="3"/>
      <c r="F47" s="3"/>
    </row>
  </sheetData>
  <mergeCells count="1">
    <mergeCell ref="A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9</vt:i4>
      </vt:variant>
    </vt:vector>
  </HeadingPairs>
  <TitlesOfParts>
    <vt:vector size="10" baseType="lpstr">
      <vt:lpstr>Sayfa1</vt:lpstr>
      <vt:lpstr>AylikStokMiktari</vt:lpstr>
      <vt:lpstr>FazlaMesaiSiniri</vt:lpstr>
      <vt:lpstr>İseAlinanİsciSayisi</vt:lpstr>
      <vt:lpstr>İstenCikartilanİsciSayisi</vt:lpstr>
      <vt:lpstr>KullanilanFazlaMesai</vt:lpstr>
      <vt:lpstr>TalepEdilenMiktar</vt:lpstr>
      <vt:lpstr>ToplamMaliyet</vt:lpstr>
      <vt:lpstr>UretilenPowerbankSayisi</vt:lpstr>
      <vt:lpstr>UretimKapasitesi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2022-05-24T20:10:02Z</dcterms:modified>
</cp:coreProperties>
</file>